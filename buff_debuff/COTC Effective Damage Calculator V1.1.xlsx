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" sheetId="1" r:id="rId5"/>
    <sheet state="visible" name="Public1" sheetId="2" r:id="rId6"/>
    <sheet state="visible" name="Copy of Public1 1" sheetId="3" r:id="rId7"/>
    <sheet state="visible" name="Copy of Public1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Character stats + awakening bonus stats + pet bonus stats (JP)</t>
      </text>
    </comment>
    <comment authorId="0" ref="F11">
      <text>
        <t xml:space="preserve">Character stats + awakening bonus stats + pet bonus stats (JP)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Character stats + awakening bonus stats + pet bonus stats (JP)</t>
      </text>
    </comment>
    <comment authorId="0" ref="F11">
      <text>
        <t xml:space="preserve">Character stats + awakening bonus stats + pet bonus stats (JP)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Character stats + awakening bonus stats + pet bonus stats (JP)</t>
      </text>
    </comment>
    <comment authorId="0" ref="F11">
      <text>
        <t xml:space="preserve">Character stats + awakening bonus stats + pet bonus stats (JP)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Character stats + awakening bonus stats + pet bonus stats (JP)</t>
      </text>
    </comment>
    <comment authorId="0" ref="F11">
      <text>
        <t xml:space="preserve">Character stats + awakening bonus stats + pet bonus stats (JP)</t>
      </text>
    </comment>
  </commentList>
</comments>
</file>

<file path=xl/sharedStrings.xml><?xml version="1.0" encoding="utf-8"?>
<sst xmlns="http://schemas.openxmlformats.org/spreadsheetml/2006/main" count="303" uniqueCount="62">
  <si>
    <r>
      <rPr>
        <color rgb="FFFFFFFF"/>
      </rPr>
      <t xml:space="preserve">Original version by Meow, Ult/Pet buffs by Wigglytuff
!!! This version of the calc is in testing. Report any errors at </t>
    </r>
    <r>
      <rPr>
        <color rgb="FF1155CC"/>
        <u/>
      </rPr>
      <t>discord.gg/Ah3xSgtkgd</t>
    </r>
    <r>
      <rPr>
        <color rgb="FFFFFFFF"/>
      </rPr>
      <t xml:space="preserve"> (ping Wigglytuff) !!!</t>
    </r>
  </si>
  <si>
    <t>MeowDB's COTC Effective Damage Calculator</t>
  </si>
  <si>
    <t>This is the Master sheet, to use the Damage Calculator, use the "Public1" sheet and follow the instructions there!</t>
  </si>
  <si>
    <t>Damage type?</t>
  </si>
  <si>
    <t>Physical</t>
  </si>
  <si>
    <t>Find the enemy's PDEF and EDEF from datamine here, and enter it exactly as it is.</t>
  </si>
  <si>
    <t>Enemy PDEF</t>
  </si>
  <si>
    <t>Enemy EDEF</t>
  </si>
  <si>
    <t>Calculator 1</t>
  </si>
  <si>
    <t>Calculator 2</t>
  </si>
  <si>
    <t>Explanation</t>
  </si>
  <si>
    <t>Step 1</t>
  </si>
  <si>
    <t>Base Stats</t>
  </si>
  <si>
    <t>Your modified base stat multiplier is calculated as greater of [(base P/E ATK) OR (75% base P/E ATK + 25% base P/E ATK)]. Units with high PATK but low EATK can still do decent elemental damage and vice versa.</t>
  </si>
  <si>
    <t>Base PATK</t>
  </si>
  <si>
    <t>Base EATK</t>
  </si>
  <si>
    <t>Modified Base Stat:</t>
  </si>
  <si>
    <t>Step 2</t>
  </si>
  <si>
    <t>Equip Stats</t>
  </si>
  <si>
    <t>EquipStats</t>
  </si>
  <si>
    <t>Include all sources of PATK/EATK from weapon and accessories.</t>
  </si>
  <si>
    <t>Equipment PATK</t>
  </si>
  <si>
    <t>Equipment EATK</t>
  </si>
  <si>
    <t>Step 3</t>
  </si>
  <si>
    <t>Buffs</t>
  </si>
  <si>
    <t>Each of these have a natural cap of 30%. E.g For Kota's Glove passive, enter 30% to ATK stat passive buff. Obviously don't include Kota's Glove if your damage is elemental.
Some units in JP have or can give a cap raise to 50%.</t>
  </si>
  <si>
    <t>ATK Stat Skill Buff</t>
  </si>
  <si>
    <t>ATK Stat Passive Buff</t>
  </si>
  <si>
    <t>DEF Skill Debuff</t>
  </si>
  <si>
    <t>DEF Passive Debuff</t>
  </si>
  <si>
    <t>DMG Skill Buff</t>
  </si>
  <si>
    <t>DMG Passive Buff</t>
  </si>
  <si>
    <t>RES Skill Debuff</t>
  </si>
  <si>
    <t>Enter DMG buffs here. Max of 30%.</t>
  </si>
  <si>
    <t>RES Passive Debuff</t>
  </si>
  <si>
    <t>ATK Stat Ultimate Buff</t>
  </si>
  <si>
    <t>Enter resistance debuffs here. Max of 30%.</t>
  </si>
  <si>
    <t>DEF Stat Ultimate Debuff</t>
  </si>
  <si>
    <t>DMG Ultimate Buff</t>
  </si>
  <si>
    <t>RES Ultimate Debuff</t>
  </si>
  <si>
    <t>ATK Stat Pet Buff</t>
  </si>
  <si>
    <t>DEF Stat Pet Debuff</t>
  </si>
  <si>
    <t>DMG Pet Buff</t>
  </si>
  <si>
    <t>Effective Value 1</t>
  </si>
  <si>
    <t>Effective Value 2</t>
  </si>
  <si>
    <t>The calculator with the higher effective value demonstrates a higher damage boost.</t>
  </si>
  <si>
    <t>Damage Difference</t>
  </si>
  <si>
    <r>
      <rPr/>
      <t xml:space="preserve">Check out </t>
    </r>
    <r>
      <rPr>
        <color rgb="FF1155CC"/>
        <u/>
      </rPr>
      <t>chazhang's video</t>
    </r>
    <r>
      <rPr/>
      <t xml:space="preserve"> explaining the full damage formula!</t>
    </r>
  </si>
  <si>
    <r>
      <rPr/>
      <t xml:space="preserve">Visit </t>
    </r>
    <r>
      <rPr>
        <color rgb="FF1155CC"/>
        <u/>
      </rPr>
      <t>meowdb.com</t>
    </r>
    <r>
      <rPr/>
      <t xml:space="preserve"> for COTC database.</t>
    </r>
  </si>
  <si>
    <r>
      <rPr>
        <color rgb="FFFFFFFF"/>
      </rPr>
      <t xml:space="preserve">Original version by Meow, Ult/Pet buffs by Wigglytuff
!!! This version of the calc is in testing. Report any errors at </t>
    </r>
    <r>
      <rPr>
        <color rgb="FF1155CC"/>
        <u/>
      </rPr>
      <t>discord.gg/Ah3xSgtkgd</t>
    </r>
    <r>
      <rPr>
        <color rgb="FFFFFFFF"/>
      </rPr>
      <t xml:space="preserve"> (ping Wigglytuff) !!!</t>
    </r>
  </si>
  <si>
    <r>
      <rPr>
        <rFont val="Arial"/>
        <b/>
        <color theme="1"/>
      </rPr>
      <t>Instructions:</t>
    </r>
    <r>
      <rPr>
        <rFont val="Arial"/>
        <color theme="1"/>
      </rPr>
      <t xml:space="preserve"> Modify values in the </t>
    </r>
    <r>
      <rPr>
        <rFont val="Arial"/>
        <b/>
        <color theme="1"/>
      </rPr>
      <t xml:space="preserve">yellow </t>
    </r>
    <r>
      <rPr>
        <rFont val="Arial"/>
        <color theme="1"/>
      </rPr>
      <t>cells only. This calc cannot figure out CRIT damage nor damage differences from weapon grade. The goal of this calc is to help you decide which build is stronger.</t>
    </r>
  </si>
  <si>
    <t>Elemental</t>
  </si>
  <si>
    <t>Each of these have a natural cap of 30%. E.g For Kota's Glove passive, enter 30% to ATK stat passive buff. Obviously don't include Kota's Glove if your damage is elemental. Some units in JP have or can give a cap raise to 50%.</t>
  </si>
  <si>
    <t>Enter Ultimate buffs/debuffs here. Max of 30%</t>
  </si>
  <si>
    <t>Enter Pet buffs/debuffs here. Max of 30%.</t>
  </si>
  <si>
    <r>
      <rPr/>
      <t xml:space="preserve">Visit </t>
    </r>
    <r>
      <rPr>
        <color rgb="FF1155CC"/>
        <u/>
      </rPr>
      <t>meowdb.com</t>
    </r>
    <r>
      <rPr/>
      <t xml:space="preserve"> for COTC database.</t>
    </r>
  </si>
  <si>
    <r>
      <rPr>
        <color rgb="FFFFFFFF"/>
      </rPr>
      <t xml:space="preserve">Original version by Meow, Ult/Pet buffs by Wigglytuff
!!! This version of the calc is in testing. Report any errors at </t>
    </r>
    <r>
      <rPr>
        <color rgb="FF1155CC"/>
        <u/>
      </rPr>
      <t>discord.gg/Ah3xSgtkgd</t>
    </r>
    <r>
      <rPr>
        <color rgb="FFFFFFFF"/>
      </rPr>
      <t xml:space="preserve"> (ping Wigglytuff) !!!</t>
    </r>
  </si>
  <si>
    <r>
      <rPr>
        <rFont val="Arial"/>
        <b/>
        <color theme="1"/>
      </rPr>
      <t>Instructions:</t>
    </r>
    <r>
      <rPr>
        <rFont val="Arial"/>
        <color theme="1"/>
      </rPr>
      <t xml:space="preserve"> Modify values in the </t>
    </r>
    <r>
      <rPr>
        <rFont val="Arial"/>
        <b/>
        <color theme="1"/>
      </rPr>
      <t xml:space="preserve">yellow </t>
    </r>
    <r>
      <rPr>
        <rFont val="Arial"/>
        <color theme="1"/>
      </rPr>
      <t>cells only. This calc cannot figure out CRIT damage nor damage differences from weapon grade. The goal of this calc is to help you decide which build is stronger.</t>
    </r>
  </si>
  <si>
    <r>
      <rPr/>
      <t xml:space="preserve">Visit </t>
    </r>
    <r>
      <rPr>
        <color rgb="FF1155CC"/>
        <u/>
      </rPr>
      <t>meowdb.com</t>
    </r>
    <r>
      <rPr/>
      <t xml:space="preserve"> for COTC database.</t>
    </r>
  </si>
  <si>
    <r>
      <rPr>
        <color rgb="FFFFFFFF"/>
      </rPr>
      <t xml:space="preserve">Original version by Meow, Ult/Pet buffs by Wigglytuff
!!! This version of the calc is in testing. Report any errors at </t>
    </r>
    <r>
      <rPr>
        <color rgb="FF1155CC"/>
        <u/>
      </rPr>
      <t>discord.gg/Ah3xSgtkgd</t>
    </r>
    <r>
      <rPr>
        <color rgb="FFFFFFFF"/>
      </rPr>
      <t xml:space="preserve"> (ping Wigglytuff) !!!</t>
    </r>
  </si>
  <si>
    <r>
      <rPr>
        <rFont val="Arial"/>
        <b/>
        <color theme="1"/>
      </rPr>
      <t>Instructions:</t>
    </r>
    <r>
      <rPr>
        <rFont val="Arial"/>
        <color theme="1"/>
      </rPr>
      <t xml:space="preserve"> Modify values in the </t>
    </r>
    <r>
      <rPr>
        <rFont val="Arial"/>
        <b/>
        <color theme="1"/>
      </rPr>
      <t xml:space="preserve">yellow </t>
    </r>
    <r>
      <rPr>
        <rFont val="Arial"/>
        <color theme="1"/>
      </rPr>
      <t>cells only. This calc cannot figure out CRIT damage nor damage differences from weapon grade. The goal of this calc is to help you decide which build is stronger.</t>
    </r>
  </si>
  <si>
    <r>
      <rPr/>
      <t xml:space="preserve">Visit </t>
    </r>
    <r>
      <rPr>
        <color rgb="FF1155CC"/>
        <u/>
      </rPr>
      <t>meowdb.com</t>
    </r>
    <r>
      <rPr/>
      <t xml:space="preserve"> for COTC database.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</si>
</sst>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u/>
      <color rgb="FFFFFFFF"/>
    </font>
    <font>
      <color theme="1"/>
      <name val="Arial"/>
      <scheme val="minor"/>
    </font>
    <font>
      <sz val="18.0"/>
      <color rgb="FFFFFFFF"/>
      <name val="Arial"/>
      <scheme val="minor"/>
    </font>
    <font>
      <b/>
      <color theme="1"/>
      <name val="Arial"/>
      <scheme val="minor"/>
    </font>
    <font>
      <u/>
      <color rgb="FF0000FF"/>
    </font>
    <font/>
    <font>
      <b/>
      <color rgb="FFFFFFFF"/>
      <name val="Arial"/>
      <scheme val="minor"/>
    </font>
    <font>
      <sz val="9.0"/>
      <color theme="1"/>
      <name val="Arial"/>
      <scheme val="minor"/>
    </font>
    <font>
      <u/>
      <color rgb="FF0000FF"/>
    </font>
    <font>
      <color rgb="FFD2B75E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2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/>
    </xf>
    <xf borderId="2" fillId="3" fontId="2" numFmtId="0" xfId="0" applyAlignment="1" applyBorder="1" applyFill="1" applyFont="1">
      <alignment readingOrder="0"/>
    </xf>
    <xf borderId="3" fillId="0" fontId="5" numFmtId="0" xfId="0" applyAlignment="1" applyBorder="1" applyFont="1">
      <alignment readingOrder="0" shrinkToFit="0" vertical="center" wrapText="1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0" fillId="0" fontId="2" numFmtId="0" xfId="0" applyAlignment="1" applyFont="1">
      <alignment readingOrder="0"/>
    </xf>
    <xf borderId="0" fillId="2" fontId="7" numFmtId="0" xfId="0" applyAlignment="1" applyFont="1">
      <alignment horizontal="center" readingOrder="0"/>
    </xf>
    <xf borderId="2" fillId="0" fontId="4" numFmtId="0" xfId="0" applyAlignment="1" applyBorder="1" applyFont="1">
      <alignment readingOrder="0"/>
    </xf>
    <xf borderId="0" fillId="0" fontId="2" numFmtId="0" xfId="0" applyAlignment="1" applyFont="1">
      <alignment readingOrder="0"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/>
    </xf>
    <xf borderId="8" fillId="3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Alignment="1" applyBorder="1" applyFont="1">
      <alignment readingOrder="0" shrinkToFit="0" vertical="center" wrapText="1"/>
    </xf>
    <xf borderId="6" fillId="3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1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6" fillId="3" fontId="2" numFmtId="9" xfId="0" applyAlignment="1" applyBorder="1" applyFont="1" applyNumberFormat="1">
      <alignment readingOrder="0"/>
    </xf>
    <xf borderId="9" fillId="3" fontId="2" numFmtId="9" xfId="0" applyAlignment="1" applyBorder="1" applyFont="1" applyNumberFormat="1">
      <alignment readingOrder="0"/>
    </xf>
    <xf borderId="8" fillId="3" fontId="2" numFmtId="9" xfId="0" applyAlignment="1" applyBorder="1" applyFont="1" applyNumberFormat="1">
      <alignment readingOrder="0"/>
    </xf>
    <xf borderId="10" fillId="3" fontId="2" numFmtId="9" xfId="0" applyAlignment="1" applyBorder="1" applyFont="1" applyNumberFormat="1">
      <alignment readingOrder="0"/>
    </xf>
    <xf borderId="12" fillId="0" fontId="2" numFmtId="0" xfId="0" applyAlignment="1" applyBorder="1" applyFont="1">
      <alignment readingOrder="0"/>
    </xf>
    <xf borderId="12" fillId="3" fontId="2" numFmtId="9" xfId="0" applyAlignment="1" applyBorder="1" applyFont="1" applyNumberFormat="1">
      <alignment readingOrder="0"/>
    </xf>
    <xf borderId="3" fillId="0" fontId="2" numFmtId="0" xfId="0" applyAlignment="1" applyBorder="1" applyFont="1">
      <alignment horizontal="left" readingOrder="0" vertical="center"/>
    </xf>
    <xf borderId="13" fillId="0" fontId="4" numFmtId="0" xfId="0" applyAlignment="1" applyBorder="1" applyFont="1">
      <alignment readingOrder="0"/>
    </xf>
    <xf borderId="1" fillId="0" fontId="2" numFmtId="1" xfId="0" applyBorder="1" applyFont="1" applyNumberFormat="1"/>
    <xf borderId="1" fillId="0" fontId="4" numFmtId="0" xfId="0" applyAlignment="1" applyBorder="1" applyFont="1">
      <alignment readingOrder="0" vertical="center"/>
    </xf>
    <xf borderId="1" fillId="4" fontId="4" numFmtId="10" xfId="0" applyAlignment="1" applyBorder="1" applyFill="1" applyFont="1" applyNumberFormat="1">
      <alignment vertical="center"/>
    </xf>
    <xf borderId="0" fillId="0" fontId="2" numFmtId="0" xfId="0" applyAlignment="1" applyFont="1">
      <alignment vertical="center"/>
    </xf>
    <xf borderId="0" fillId="0" fontId="9" numFmtId="0" xfId="0" applyAlignment="1" applyFont="1">
      <alignment readingOrder="0"/>
    </xf>
    <xf borderId="2" fillId="3" fontId="10" numFmtId="0" xfId="0" applyAlignment="1" applyBorder="1" applyFont="1">
      <alignment readingOrder="0"/>
    </xf>
    <xf borderId="0" fillId="0" fontId="7" numFmtId="0" xfId="0" applyAlignment="1" applyFont="1">
      <alignment horizontal="center" readingOrder="0"/>
    </xf>
    <xf borderId="14" fillId="0" fontId="6" numFmtId="0" xfId="0" applyBorder="1" applyFont="1"/>
    <xf borderId="0" fillId="0" fontId="8" numFmtId="0" xfId="0" applyAlignment="1" applyFont="1">
      <alignment readingOrder="0" shrinkToFit="0" vertical="center" wrapText="1"/>
    </xf>
    <xf borderId="8" fillId="3" fontId="10" numFmtId="0" xfId="0" applyAlignment="1" applyBorder="1" applyFont="1">
      <alignment readingOrder="0"/>
    </xf>
    <xf borderId="15" fillId="0" fontId="6" numFmtId="0" xfId="0" applyBorder="1" applyFont="1"/>
    <xf borderId="0" fillId="0" fontId="2" numFmtId="0" xfId="0" applyAlignment="1" applyFont="1">
      <alignment horizontal="left" readingOrder="0" shrinkToFit="0" vertical="center" wrapText="1"/>
    </xf>
    <xf borderId="8" fillId="3" fontId="10" numFmtId="9" xfId="0" applyAlignment="1" applyBorder="1" applyFont="1" applyNumberFormat="1">
      <alignment readingOrder="0"/>
    </xf>
    <xf borderId="0" fillId="0" fontId="2" numFmtId="0" xfId="0" applyAlignment="1" applyFont="1">
      <alignment horizontal="left" readingOrder="0" vertical="center"/>
    </xf>
    <xf borderId="6" fillId="3" fontId="10" numFmtId="9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discord.gg/Ah3xSgtkgd" TargetMode="External"/><Relationship Id="rId3" Type="http://schemas.openxmlformats.org/officeDocument/2006/relationships/hyperlink" Target="https://meowdb.com/db/octopath-traveler-cotc/enemy-stats-lv-31-plus/" TargetMode="External"/><Relationship Id="rId4" Type="http://schemas.openxmlformats.org/officeDocument/2006/relationships/hyperlink" Target="https://www.youtube.com/watch?v=C6mwpNmbsvg" TargetMode="External"/><Relationship Id="rId5" Type="http://schemas.openxmlformats.org/officeDocument/2006/relationships/hyperlink" Target="https://meowdb.com/db/octopath-traveler-cotc/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discord.gg/Ah3xSgtkgd" TargetMode="External"/><Relationship Id="rId3" Type="http://schemas.openxmlformats.org/officeDocument/2006/relationships/hyperlink" Target="https://meowdb.com/db/octopath-traveler-cotc/enemy-stats-lv-31-plus/" TargetMode="External"/><Relationship Id="rId4" Type="http://schemas.openxmlformats.org/officeDocument/2006/relationships/hyperlink" Target="https://meowdb.com/db/octopath-traveler-cotc/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://discord.gg/Ah3xSgtkgd" TargetMode="External"/><Relationship Id="rId3" Type="http://schemas.openxmlformats.org/officeDocument/2006/relationships/hyperlink" Target="https://meowdb.com/db/octopath-traveler-cotc/enemy-stats-lv-31-plus/" TargetMode="External"/><Relationship Id="rId4" Type="http://schemas.openxmlformats.org/officeDocument/2006/relationships/hyperlink" Target="https://meowdb.com/db/octopath-traveler-cotc/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://discord.gg/Ah3xSgtkgd" TargetMode="External"/><Relationship Id="rId3" Type="http://schemas.openxmlformats.org/officeDocument/2006/relationships/hyperlink" Target="https://meowdb.com/db/octopath-traveler-cotc/enemy-stats-lv-31-plus/" TargetMode="External"/><Relationship Id="rId4" Type="http://schemas.openxmlformats.org/officeDocument/2006/relationships/hyperlink" Target="https://meowdb.com/db/octopath-traveler-cotc/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0.13"/>
    <col customWidth="1" min="3" max="3" width="12.75"/>
    <col customWidth="1" min="4" max="4" width="3.13"/>
    <col customWidth="1" min="5" max="5" width="20.13"/>
    <col customWidth="1" min="6" max="6" width="12.75"/>
    <col customWidth="1" min="7" max="7" width="3.5"/>
    <col customWidth="1" min="9" max="9" width="15.75"/>
    <col customWidth="1" min="10" max="10" width="6.0"/>
  </cols>
  <sheetData>
    <row r="1">
      <c r="A1" s="1" t="s">
        <v>0</v>
      </c>
      <c r="J1" s="2"/>
    </row>
    <row r="2">
      <c r="J2" s="2"/>
    </row>
    <row r="3">
      <c r="A3" s="2"/>
      <c r="B3" s="3" t="s">
        <v>1</v>
      </c>
      <c r="J3" s="2"/>
    </row>
    <row r="4">
      <c r="B4" s="4" t="s">
        <v>2</v>
      </c>
    </row>
    <row r="6">
      <c r="B6" s="5" t="s">
        <v>3</v>
      </c>
      <c r="C6" s="6" t="s">
        <v>4</v>
      </c>
      <c r="E6" s="7" t="s">
        <v>5</v>
      </c>
      <c r="F6" s="8"/>
    </row>
    <row r="7">
      <c r="B7" s="5" t="s">
        <v>6</v>
      </c>
      <c r="C7" s="6">
        <v>120.0</v>
      </c>
      <c r="E7" s="9"/>
      <c r="F7" s="10"/>
    </row>
    <row r="8">
      <c r="B8" s="5" t="s">
        <v>7</v>
      </c>
      <c r="C8" s="6">
        <v>120.0</v>
      </c>
      <c r="E8" s="11"/>
      <c r="F8" s="12"/>
    </row>
    <row r="9">
      <c r="B9" s="13"/>
    </row>
    <row r="10">
      <c r="B10" s="14" t="s">
        <v>8</v>
      </c>
      <c r="E10" s="14" t="s">
        <v>9</v>
      </c>
      <c r="H10" s="14" t="s">
        <v>10</v>
      </c>
    </row>
    <row r="11">
      <c r="B11" s="5" t="s">
        <v>11</v>
      </c>
      <c r="C11" s="15" t="s">
        <v>12</v>
      </c>
      <c r="E11" s="5" t="s">
        <v>11</v>
      </c>
      <c r="F11" s="15" t="s">
        <v>12</v>
      </c>
      <c r="G11" s="16"/>
      <c r="H11" s="17" t="s">
        <v>13</v>
      </c>
      <c r="I11" s="8"/>
    </row>
    <row r="12">
      <c r="B12" s="18" t="s">
        <v>14</v>
      </c>
      <c r="C12" s="19">
        <v>434.0</v>
      </c>
      <c r="E12" s="18" t="s">
        <v>14</v>
      </c>
      <c r="F12" s="19">
        <v>434.0</v>
      </c>
      <c r="G12" s="16"/>
      <c r="H12" s="9"/>
      <c r="I12" s="10"/>
    </row>
    <row r="13">
      <c r="B13" s="20" t="s">
        <v>15</v>
      </c>
      <c r="C13" s="19">
        <v>400.0</v>
      </c>
      <c r="E13" s="20" t="s">
        <v>15</v>
      </c>
      <c r="F13" s="19">
        <v>400.0</v>
      </c>
      <c r="G13" s="16"/>
      <c r="H13" s="9"/>
      <c r="I13" s="10"/>
    </row>
    <row r="14">
      <c r="G14" s="16"/>
      <c r="H14" s="9"/>
      <c r="I14" s="10"/>
    </row>
    <row r="15">
      <c r="B15" s="5" t="s">
        <v>16</v>
      </c>
      <c r="C15" s="21">
        <f>if(C6="physical",if(C12&gt;C13,C12,(0.75*C13+0.25*C12)),if(C13&gt;C12,C13,(0.75*C12+0.25*C13)))</f>
        <v>434</v>
      </c>
      <c r="E15" s="5" t="s">
        <v>16</v>
      </c>
      <c r="F15" s="21">
        <f>if(C6="physical",if(F12&gt;F13,F12,(0.75*F13+0.25*F12)),if(F13&gt;F12,F13,(0.75*F12+0.25*F13)))</f>
        <v>434</v>
      </c>
      <c r="G15" s="16"/>
      <c r="H15" s="11"/>
      <c r="I15" s="12"/>
    </row>
    <row r="17">
      <c r="B17" s="5" t="s">
        <v>17</v>
      </c>
      <c r="C17" s="15" t="s">
        <v>18</v>
      </c>
      <c r="E17" s="5" t="s">
        <v>17</v>
      </c>
      <c r="F17" s="15" t="s">
        <v>19</v>
      </c>
      <c r="H17" s="22" t="s">
        <v>20</v>
      </c>
      <c r="I17" s="8"/>
    </row>
    <row r="18">
      <c r="B18" s="18" t="s">
        <v>21</v>
      </c>
      <c r="C18" s="23">
        <v>500.0</v>
      </c>
      <c r="E18" s="18" t="s">
        <v>21</v>
      </c>
      <c r="F18" s="23">
        <v>500.0</v>
      </c>
      <c r="H18" s="9"/>
      <c r="I18" s="10"/>
    </row>
    <row r="19">
      <c r="B19" s="20" t="s">
        <v>22</v>
      </c>
      <c r="C19" s="19">
        <v>400.0</v>
      </c>
      <c r="E19" s="20" t="s">
        <v>22</v>
      </c>
      <c r="F19" s="19">
        <v>300.0</v>
      </c>
      <c r="H19" s="11"/>
      <c r="I19" s="12"/>
    </row>
    <row r="20">
      <c r="B20" s="24"/>
      <c r="C20" s="24"/>
      <c r="E20" s="24"/>
      <c r="F20" s="24"/>
      <c r="H20" s="25"/>
      <c r="I20" s="25"/>
    </row>
    <row r="21">
      <c r="B21" s="5" t="s">
        <v>23</v>
      </c>
      <c r="C21" s="15" t="s">
        <v>24</v>
      </c>
      <c r="E21" s="5" t="s">
        <v>23</v>
      </c>
      <c r="F21" s="5" t="s">
        <v>24</v>
      </c>
      <c r="H21" s="26" t="s">
        <v>25</v>
      </c>
      <c r="I21" s="8"/>
    </row>
    <row r="22">
      <c r="B22" s="18" t="s">
        <v>26</v>
      </c>
      <c r="C22" s="27">
        <v>0.0</v>
      </c>
      <c r="E22" s="18" t="s">
        <v>26</v>
      </c>
      <c r="F22" s="28">
        <v>0.0</v>
      </c>
      <c r="H22" s="9"/>
      <c r="I22" s="10"/>
    </row>
    <row r="23">
      <c r="B23" s="18" t="s">
        <v>27</v>
      </c>
      <c r="C23" s="27">
        <v>0.0</v>
      </c>
      <c r="E23" s="18" t="s">
        <v>27</v>
      </c>
      <c r="F23" s="28">
        <v>0.0</v>
      </c>
      <c r="H23" s="9"/>
      <c r="I23" s="10"/>
    </row>
    <row r="24">
      <c r="B24" s="18" t="s">
        <v>28</v>
      </c>
      <c r="C24" s="27">
        <v>0.0</v>
      </c>
      <c r="E24" s="18" t="s">
        <v>28</v>
      </c>
      <c r="F24" s="28">
        <v>0.2</v>
      </c>
      <c r="H24" s="9"/>
      <c r="I24" s="10"/>
    </row>
    <row r="25">
      <c r="B25" s="20" t="s">
        <v>29</v>
      </c>
      <c r="C25" s="29">
        <v>0.3</v>
      </c>
      <c r="E25" s="20" t="s">
        <v>29</v>
      </c>
      <c r="F25" s="30">
        <v>0.0</v>
      </c>
      <c r="H25" s="9"/>
      <c r="I25" s="10"/>
    </row>
    <row r="26">
      <c r="B26" s="31" t="s">
        <v>30</v>
      </c>
      <c r="C26" s="32">
        <v>0.0</v>
      </c>
      <c r="E26" s="31" t="s">
        <v>30</v>
      </c>
      <c r="F26" s="32">
        <v>0.0</v>
      </c>
      <c r="H26" s="9"/>
      <c r="I26" s="10"/>
    </row>
    <row r="27">
      <c r="B27" s="20" t="s">
        <v>31</v>
      </c>
      <c r="C27" s="30">
        <v>0.0</v>
      </c>
      <c r="E27" s="20" t="s">
        <v>31</v>
      </c>
      <c r="F27" s="30">
        <v>0.0</v>
      </c>
      <c r="H27" s="11"/>
      <c r="I27" s="12"/>
    </row>
    <row r="28">
      <c r="B28" s="31" t="s">
        <v>32</v>
      </c>
      <c r="C28" s="32">
        <v>0.0</v>
      </c>
      <c r="E28" s="31" t="s">
        <v>32</v>
      </c>
      <c r="F28" s="32">
        <v>0.0</v>
      </c>
      <c r="H28" s="33" t="s">
        <v>33</v>
      </c>
      <c r="I28" s="8"/>
    </row>
    <row r="29">
      <c r="B29" s="20" t="s">
        <v>34</v>
      </c>
      <c r="C29" s="30">
        <v>0.0</v>
      </c>
      <c r="E29" s="20" t="s">
        <v>34</v>
      </c>
      <c r="F29" s="30">
        <v>0.0</v>
      </c>
      <c r="H29" s="11"/>
      <c r="I29" s="12"/>
    </row>
    <row r="30">
      <c r="B30" s="31" t="s">
        <v>35</v>
      </c>
      <c r="C30" s="27">
        <v>0.05</v>
      </c>
      <c r="E30" s="31" t="s">
        <v>35</v>
      </c>
      <c r="F30" s="28">
        <v>0.0</v>
      </c>
      <c r="H30" s="26" t="s">
        <v>36</v>
      </c>
      <c r="I30" s="8"/>
    </row>
    <row r="31">
      <c r="B31" s="18" t="s">
        <v>37</v>
      </c>
      <c r="C31" s="27">
        <v>0.0</v>
      </c>
      <c r="E31" s="18" t="s">
        <v>37</v>
      </c>
      <c r="F31" s="27">
        <v>0.0</v>
      </c>
      <c r="H31" s="11"/>
      <c r="I31" s="12"/>
    </row>
    <row r="32">
      <c r="B32" s="18" t="s">
        <v>38</v>
      </c>
      <c r="C32" s="27">
        <v>0.0</v>
      </c>
      <c r="E32" s="18" t="s">
        <v>38</v>
      </c>
      <c r="F32" s="27">
        <v>0.0</v>
      </c>
    </row>
    <row r="33">
      <c r="B33" s="20" t="s">
        <v>39</v>
      </c>
      <c r="C33" s="29">
        <v>0.0</v>
      </c>
      <c r="E33" s="20" t="s">
        <v>39</v>
      </c>
      <c r="F33" s="29">
        <v>0.0</v>
      </c>
    </row>
    <row r="34">
      <c r="B34" s="31" t="s">
        <v>40</v>
      </c>
      <c r="C34" s="27">
        <v>0.0</v>
      </c>
      <c r="E34" s="18" t="s">
        <v>40</v>
      </c>
      <c r="F34" s="27">
        <v>0.0</v>
      </c>
    </row>
    <row r="35">
      <c r="B35" s="18" t="s">
        <v>41</v>
      </c>
      <c r="C35" s="27">
        <v>0.0</v>
      </c>
      <c r="E35" s="18" t="s">
        <v>41</v>
      </c>
      <c r="F35" s="27">
        <v>0.0</v>
      </c>
    </row>
    <row r="36">
      <c r="B36" s="20" t="s">
        <v>42</v>
      </c>
      <c r="C36" s="29">
        <v>0.0</v>
      </c>
      <c r="E36" s="20" t="s">
        <v>42</v>
      </c>
      <c r="F36" s="29">
        <v>0.0</v>
      </c>
    </row>
    <row r="38">
      <c r="B38" s="34" t="s">
        <v>43</v>
      </c>
      <c r="C38" s="35">
        <f>if(C6="physical",C15*(C15+C18-C7)*(1+C22+C23+C24+C25)*(1+C26+C27)*(1+C28+C29)*((1+C30+C31)*(1+C32)*(1+C33))*((1+C34+C35)*(1+C36)),C15*(C15+C19-C8)*(1+C22+C23+C24+C25)*(1+C26+C27)*(1+C28+C29)*((1+C30+C31)*(1+C32)*(1+C33))*((1+C34+C35)*(1+C36)))</f>
        <v>482221.74</v>
      </c>
      <c r="E38" s="34" t="s">
        <v>44</v>
      </c>
      <c r="F38" s="35">
        <f>if(C6="physical",F15*(F15+F18-C7)*(1+F22+F23+F24+F25)*(1+F26+F27)*(1+F28+F29)*((1+F30+F31)*(1+F32)*(1+F33))*((1+F34+F35)*(1+F36)),F15*(F15+F19-C8)*(1+F22+F23+F24+F25)*(1+F26+F27)*(1+F28+F29)*((1+F30+F31)*(1+F32)*(1+F33))*((1+F34+F35)*(1+F36)))</f>
        <v>423931.2</v>
      </c>
      <c r="H38" s="26" t="s">
        <v>45</v>
      </c>
      <c r="I38" s="8"/>
    </row>
    <row r="39" ht="25.5" customHeight="1">
      <c r="B39" s="36" t="s">
        <v>46</v>
      </c>
      <c r="C39" s="37">
        <f>(C38-F38)/F38</f>
        <v>0.1375</v>
      </c>
      <c r="D39" s="38"/>
      <c r="E39" s="36" t="s">
        <v>46</v>
      </c>
      <c r="F39" s="37">
        <f>(F38-C38)/C38</f>
        <v>-0.1208791209</v>
      </c>
      <c r="H39" s="11"/>
      <c r="I39" s="12"/>
    </row>
    <row r="41">
      <c r="B41" s="39" t="s">
        <v>47</v>
      </c>
    </row>
    <row r="42">
      <c r="B42" s="39" t="s">
        <v>48</v>
      </c>
    </row>
  </sheetData>
  <mergeCells count="13">
    <mergeCell ref="H11:I15"/>
    <mergeCell ref="H17:I19"/>
    <mergeCell ref="H21:I27"/>
    <mergeCell ref="H28:I29"/>
    <mergeCell ref="H30:I31"/>
    <mergeCell ref="H38:I39"/>
    <mergeCell ref="A1:I2"/>
    <mergeCell ref="B3:I3"/>
    <mergeCell ref="B4:I5"/>
    <mergeCell ref="E6:F8"/>
    <mergeCell ref="B10:C10"/>
    <mergeCell ref="E10:F10"/>
    <mergeCell ref="H10:I10"/>
  </mergeCells>
  <dataValidations>
    <dataValidation type="list" allowBlank="1" showErrorMessage="1" sqref="C6">
      <formula1>"Physical,Elemental"</formula1>
    </dataValidation>
    <dataValidation type="decimal" operator="lessThanOrEqual" allowBlank="1" showDropDown="1" sqref="C22:C36 F22:F36">
      <formula1>0.3</formula1>
    </dataValidation>
  </dataValidations>
  <hyperlinks>
    <hyperlink r:id="rId2" ref="A1"/>
    <hyperlink r:id="rId3" ref="E6"/>
    <hyperlink r:id="rId4" ref="B41"/>
    <hyperlink r:id="rId5" ref="B42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0.13"/>
    <col customWidth="1" min="3" max="3" width="12.75"/>
    <col customWidth="1" min="4" max="4" width="3.13"/>
    <col customWidth="1" min="5" max="5" width="20.13"/>
    <col customWidth="1" min="6" max="6" width="12.75"/>
    <col customWidth="1" min="7" max="7" width="3.5"/>
    <col customWidth="1" min="9" max="9" width="15.75"/>
    <col customWidth="1" min="10" max="11" width="6.0"/>
  </cols>
  <sheetData>
    <row r="1">
      <c r="A1" s="1" t="s">
        <v>49</v>
      </c>
    </row>
    <row r="3">
      <c r="A3" s="3" t="s">
        <v>1</v>
      </c>
    </row>
    <row r="4">
      <c r="B4" s="16" t="s">
        <v>50</v>
      </c>
    </row>
    <row r="6">
      <c r="B6" s="5" t="s">
        <v>3</v>
      </c>
      <c r="C6" s="6" t="s">
        <v>51</v>
      </c>
      <c r="E6" s="7" t="s">
        <v>5</v>
      </c>
      <c r="F6" s="8"/>
    </row>
    <row r="7">
      <c r="B7" s="5" t="s">
        <v>6</v>
      </c>
      <c r="C7" s="40">
        <v>1002.0</v>
      </c>
      <c r="E7" s="9"/>
      <c r="F7" s="10"/>
    </row>
    <row r="8">
      <c r="B8" s="5" t="s">
        <v>7</v>
      </c>
      <c r="C8" s="6">
        <v>1002.0</v>
      </c>
      <c r="E8" s="11"/>
      <c r="F8" s="12"/>
    </row>
    <row r="9">
      <c r="B9" s="13"/>
    </row>
    <row r="10">
      <c r="B10" s="14" t="s">
        <v>8</v>
      </c>
      <c r="E10" s="14" t="s">
        <v>9</v>
      </c>
      <c r="H10" s="14" t="s">
        <v>10</v>
      </c>
      <c r="K10" s="41"/>
    </row>
    <row r="11">
      <c r="B11" s="5" t="s">
        <v>11</v>
      </c>
      <c r="C11" s="15" t="s">
        <v>12</v>
      </c>
      <c r="E11" s="5" t="s">
        <v>11</v>
      </c>
      <c r="F11" s="15" t="s">
        <v>12</v>
      </c>
      <c r="G11" s="16"/>
      <c r="H11" s="17" t="s">
        <v>13</v>
      </c>
      <c r="I11" s="42"/>
      <c r="J11" s="8"/>
      <c r="K11" s="43"/>
    </row>
    <row r="12">
      <c r="B12" s="18" t="s">
        <v>14</v>
      </c>
      <c r="C12" s="44">
        <v>493.0</v>
      </c>
      <c r="E12" s="18" t="s">
        <v>14</v>
      </c>
      <c r="F12" s="44">
        <v>516.0</v>
      </c>
      <c r="G12" s="16"/>
      <c r="H12" s="9"/>
      <c r="J12" s="10"/>
      <c r="K12" s="43"/>
    </row>
    <row r="13">
      <c r="B13" s="20" t="s">
        <v>15</v>
      </c>
      <c r="C13" s="19">
        <v>400.0</v>
      </c>
      <c r="E13" s="20" t="s">
        <v>15</v>
      </c>
      <c r="F13" s="19">
        <v>337.0</v>
      </c>
      <c r="G13" s="16"/>
      <c r="H13" s="9"/>
      <c r="J13" s="10"/>
      <c r="K13" s="43"/>
    </row>
    <row r="14">
      <c r="G14" s="16"/>
      <c r="H14" s="9"/>
      <c r="J14" s="10"/>
      <c r="K14" s="43"/>
    </row>
    <row r="15">
      <c r="B15" s="5" t="s">
        <v>16</v>
      </c>
      <c r="C15" s="21">
        <f>if(C6="physical",if(C12&gt;C13,C12,(0.75*C13+0.25*C12)),if(C13&gt;C12,C13,(0.75*C12+0.25*C13)))</f>
        <v>469.75</v>
      </c>
      <c r="E15" s="5" t="s">
        <v>16</v>
      </c>
      <c r="F15" s="21">
        <f>if(C6="physical",if(F12&gt;F13,F12,(0.75*F13+0.25*F12)),if(F13&gt;F12,F13,(0.75*F12+0.25*F13)))</f>
        <v>471.25</v>
      </c>
      <c r="G15" s="16"/>
      <c r="H15" s="11"/>
      <c r="I15" s="45"/>
      <c r="J15" s="12"/>
      <c r="K15" s="43"/>
    </row>
    <row r="17">
      <c r="B17" s="5" t="s">
        <v>17</v>
      </c>
      <c r="C17" s="15" t="s">
        <v>18</v>
      </c>
      <c r="E17" s="5" t="s">
        <v>17</v>
      </c>
      <c r="F17" s="15" t="s">
        <v>19</v>
      </c>
      <c r="H17" s="22" t="s">
        <v>20</v>
      </c>
      <c r="I17" s="42"/>
      <c r="J17" s="8"/>
      <c r="K17" s="16"/>
    </row>
    <row r="18">
      <c r="B18" s="18" t="s">
        <v>21</v>
      </c>
      <c r="C18" s="44">
        <v>1357.0</v>
      </c>
      <c r="E18" s="18" t="s">
        <v>21</v>
      </c>
      <c r="F18" s="44">
        <v>1357.0</v>
      </c>
      <c r="H18" s="9"/>
      <c r="J18" s="10"/>
      <c r="K18" s="16"/>
    </row>
    <row r="19">
      <c r="B19" s="20" t="s">
        <v>22</v>
      </c>
      <c r="C19" s="19">
        <v>174.0</v>
      </c>
      <c r="E19" s="20" t="s">
        <v>22</v>
      </c>
      <c r="F19" s="19">
        <v>174.0</v>
      </c>
      <c r="H19" s="11"/>
      <c r="I19" s="45"/>
      <c r="J19" s="12"/>
      <c r="K19" s="16"/>
    </row>
    <row r="20">
      <c r="B20" s="24"/>
      <c r="C20" s="24"/>
      <c r="E20" s="24"/>
      <c r="F20" s="24"/>
      <c r="H20" s="25"/>
      <c r="I20" s="25"/>
    </row>
    <row r="21">
      <c r="B21" s="5" t="s">
        <v>23</v>
      </c>
      <c r="C21" s="15" t="s">
        <v>24</v>
      </c>
      <c r="E21" s="5" t="s">
        <v>23</v>
      </c>
      <c r="F21" s="5" t="s">
        <v>24</v>
      </c>
      <c r="H21" s="26" t="s">
        <v>52</v>
      </c>
      <c r="I21" s="42"/>
      <c r="J21" s="8"/>
      <c r="K21" s="46"/>
    </row>
    <row r="22">
      <c r="B22" s="18" t="s">
        <v>26</v>
      </c>
      <c r="C22" s="47">
        <v>0.3</v>
      </c>
      <c r="E22" s="18" t="s">
        <v>26</v>
      </c>
      <c r="F22" s="47">
        <v>0.3</v>
      </c>
      <c r="H22" s="9"/>
      <c r="J22" s="10"/>
      <c r="K22" s="46"/>
    </row>
    <row r="23">
      <c r="B23" s="18" t="s">
        <v>27</v>
      </c>
      <c r="C23" s="47">
        <v>0.3</v>
      </c>
      <c r="E23" s="18" t="s">
        <v>27</v>
      </c>
      <c r="F23" s="47">
        <v>0.3</v>
      </c>
      <c r="H23" s="9"/>
      <c r="J23" s="10"/>
      <c r="K23" s="46"/>
    </row>
    <row r="24">
      <c r="B24" s="18" t="s">
        <v>28</v>
      </c>
      <c r="C24" s="47">
        <v>0.3</v>
      </c>
      <c r="E24" s="18" t="s">
        <v>28</v>
      </c>
      <c r="F24" s="47">
        <v>0.3</v>
      </c>
      <c r="H24" s="9"/>
      <c r="J24" s="10"/>
      <c r="K24" s="46"/>
    </row>
    <row r="25">
      <c r="B25" s="20" t="s">
        <v>29</v>
      </c>
      <c r="C25" s="47">
        <v>0.3</v>
      </c>
      <c r="E25" s="20" t="s">
        <v>29</v>
      </c>
      <c r="F25" s="47">
        <v>0.3</v>
      </c>
      <c r="H25" s="11"/>
      <c r="I25" s="45"/>
      <c r="J25" s="12"/>
      <c r="K25" s="46"/>
    </row>
    <row r="26">
      <c r="B26" s="31" t="s">
        <v>30</v>
      </c>
      <c r="C26" s="47">
        <v>0.3</v>
      </c>
      <c r="E26" s="31" t="s">
        <v>30</v>
      </c>
      <c r="F26" s="47">
        <v>0.3</v>
      </c>
      <c r="H26" s="33" t="s">
        <v>33</v>
      </c>
      <c r="I26" s="42"/>
      <c r="J26" s="8"/>
      <c r="K26" s="48"/>
    </row>
    <row r="27">
      <c r="B27" s="20" t="s">
        <v>31</v>
      </c>
      <c r="C27" s="47">
        <v>0.25</v>
      </c>
      <c r="E27" s="20" t="s">
        <v>31</v>
      </c>
      <c r="F27" s="47">
        <v>0.25</v>
      </c>
      <c r="H27" s="11"/>
      <c r="I27" s="45"/>
      <c r="J27" s="12"/>
      <c r="K27" s="48"/>
    </row>
    <row r="28">
      <c r="B28" s="31" t="s">
        <v>32</v>
      </c>
      <c r="C28" s="29">
        <v>0.3</v>
      </c>
      <c r="E28" s="31" t="s">
        <v>32</v>
      </c>
      <c r="F28" s="29">
        <v>0.3</v>
      </c>
      <c r="H28" s="26" t="s">
        <v>36</v>
      </c>
      <c r="I28" s="42"/>
      <c r="J28" s="8"/>
      <c r="K28" s="46"/>
    </row>
    <row r="29">
      <c r="B29" s="20" t="s">
        <v>34</v>
      </c>
      <c r="C29" s="47">
        <v>0.2</v>
      </c>
      <c r="E29" s="20" t="s">
        <v>34</v>
      </c>
      <c r="F29" s="47">
        <v>0.2</v>
      </c>
      <c r="H29" s="11"/>
      <c r="I29" s="45"/>
      <c r="J29" s="12"/>
      <c r="K29" s="46"/>
    </row>
    <row r="30">
      <c r="B30" s="31" t="s">
        <v>35</v>
      </c>
      <c r="C30" s="47">
        <v>0.2</v>
      </c>
      <c r="E30" s="31" t="s">
        <v>35</v>
      </c>
      <c r="F30" s="47">
        <v>0.2</v>
      </c>
      <c r="H30" s="33" t="s">
        <v>53</v>
      </c>
      <c r="I30" s="42"/>
      <c r="J30" s="8"/>
      <c r="K30" s="48"/>
    </row>
    <row r="31">
      <c r="B31" s="18" t="s">
        <v>37</v>
      </c>
      <c r="C31" s="47">
        <v>0.3</v>
      </c>
      <c r="E31" s="18" t="s">
        <v>37</v>
      </c>
      <c r="F31" s="47">
        <v>0.3</v>
      </c>
      <c r="H31" s="9"/>
      <c r="J31" s="10"/>
      <c r="K31" s="48"/>
    </row>
    <row r="32">
      <c r="B32" s="18" t="s">
        <v>38</v>
      </c>
      <c r="C32" s="47">
        <v>0.2</v>
      </c>
      <c r="E32" s="18" t="s">
        <v>38</v>
      </c>
      <c r="F32" s="47">
        <v>0.2</v>
      </c>
      <c r="H32" s="9"/>
      <c r="J32" s="10"/>
      <c r="K32" s="48"/>
    </row>
    <row r="33">
      <c r="B33" s="20" t="s">
        <v>39</v>
      </c>
      <c r="C33" s="29"/>
      <c r="E33" s="20" t="s">
        <v>39</v>
      </c>
      <c r="F33" s="29"/>
      <c r="H33" s="11"/>
      <c r="I33" s="45"/>
      <c r="J33" s="12"/>
      <c r="K33" s="48"/>
    </row>
    <row r="34">
      <c r="B34" s="31" t="s">
        <v>40</v>
      </c>
      <c r="C34" s="49">
        <v>0.0</v>
      </c>
      <c r="E34" s="18" t="s">
        <v>40</v>
      </c>
      <c r="F34" s="49"/>
      <c r="H34" s="33" t="s">
        <v>54</v>
      </c>
      <c r="I34" s="42"/>
      <c r="J34" s="8"/>
      <c r="K34" s="48"/>
    </row>
    <row r="35">
      <c r="B35" s="18" t="s">
        <v>41</v>
      </c>
      <c r="C35" s="27"/>
      <c r="E35" s="18" t="s">
        <v>41</v>
      </c>
      <c r="F35" s="27"/>
      <c r="H35" s="9"/>
      <c r="J35" s="10"/>
      <c r="K35" s="48"/>
    </row>
    <row r="36">
      <c r="B36" s="20" t="s">
        <v>42</v>
      </c>
      <c r="C36" s="29">
        <v>0.0</v>
      </c>
      <c r="E36" s="20" t="s">
        <v>42</v>
      </c>
      <c r="F36" s="29"/>
      <c r="H36" s="11"/>
      <c r="I36" s="45"/>
      <c r="J36" s="12"/>
      <c r="K36" s="48"/>
    </row>
    <row r="38">
      <c r="B38" s="34" t="s">
        <v>43</v>
      </c>
      <c r="C38" s="35">
        <f>if(C6="physical",C15*(C15+C18-C7)*(1+C22+C23+C24+C25)*(1+C26+C27)*(1+C28+C29)*((1+C30+C31)*(1+C32)*(1+C33))*((1+C34+C35)*(1+C36)),C15*(C15+C19-C8)*(1+C22+C23+C24+C25)*(1+C26+C27)*(1+C28+C29)*((1+C30+C31)*(1+C32)*(1+C33))*((1+C34+C35)*(1+C36)))</f>
        <v>-1549427.041</v>
      </c>
      <c r="E38" s="34" t="s">
        <v>44</v>
      </c>
      <c r="F38" s="35">
        <f>if(C6="physical",F15*(F15+F18-C7)*(1+F22+F23+F24+F25)*(1+F26+F27)*(1+F28+F29)*((1+F30+F31)*(1+F32)*(1+F33))*((1+F34+F35)*(1+F36)),F15*(F15+F19-C8)*(1+F22+F23+F24+F25)*(1+F26+F27)*(1+F28+F29)*((1+F30+F31)*(1+F32)*(1+F33))*((1+F34+F35)*(1+F36)))</f>
        <v>-1547866.454</v>
      </c>
      <c r="H38" s="26" t="s">
        <v>45</v>
      </c>
      <c r="I38" s="42"/>
      <c r="J38" s="8"/>
    </row>
    <row r="39" ht="25.5" customHeight="1">
      <c r="B39" s="36" t="s">
        <v>46</v>
      </c>
      <c r="C39" s="37">
        <f>(C38-F38)/F38</f>
        <v>0.001008217793</v>
      </c>
      <c r="D39" s="38"/>
      <c r="E39" s="36" t="s">
        <v>46</v>
      </c>
      <c r="F39" s="37">
        <f>(F38-C38)/C38</f>
        <v>-0.001007202314</v>
      </c>
      <c r="H39" s="11"/>
      <c r="I39" s="45"/>
      <c r="J39" s="12"/>
    </row>
    <row r="41">
      <c r="B41" s="39" t="s">
        <v>55</v>
      </c>
      <c r="H41" s="46"/>
      <c r="I41" s="46"/>
    </row>
    <row r="42">
      <c r="H42" s="46"/>
      <c r="I42" s="46"/>
    </row>
    <row r="43">
      <c r="H43" s="46"/>
      <c r="I43" s="46"/>
    </row>
    <row r="44">
      <c r="H44" s="46"/>
      <c r="I44" s="46"/>
    </row>
    <row r="45">
      <c r="H45" s="46"/>
      <c r="I45" s="46"/>
    </row>
    <row r="46">
      <c r="H46" s="46"/>
      <c r="I46" s="46"/>
    </row>
    <row r="47">
      <c r="H47" s="46"/>
      <c r="I47" s="46"/>
    </row>
  </sheetData>
  <mergeCells count="15">
    <mergeCell ref="H11:J15"/>
    <mergeCell ref="H17:J19"/>
    <mergeCell ref="H21:J25"/>
    <mergeCell ref="H26:J27"/>
    <mergeCell ref="H28:J29"/>
    <mergeCell ref="H30:J33"/>
    <mergeCell ref="H34:J36"/>
    <mergeCell ref="H38:J39"/>
    <mergeCell ref="A1:K2"/>
    <mergeCell ref="A3:K3"/>
    <mergeCell ref="B4:I5"/>
    <mergeCell ref="E6:F8"/>
    <mergeCell ref="B10:C10"/>
    <mergeCell ref="E10:F10"/>
    <mergeCell ref="H10:J10"/>
  </mergeCells>
  <dataValidations>
    <dataValidation type="list" allowBlank="1" showErrorMessage="1" sqref="C6">
      <formula1>"Physical,Elemental"</formula1>
    </dataValidation>
    <dataValidation type="decimal" operator="lessThanOrEqual" allowBlank="1" showDropDown="1" sqref="C22:C36 F22:F36">
      <formula1>0.3</formula1>
    </dataValidation>
  </dataValidations>
  <hyperlinks>
    <hyperlink r:id="rId2" ref="A1"/>
    <hyperlink r:id="rId3" ref="E6"/>
    <hyperlink r:id="rId4" ref="B41"/>
  </hyperlinks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0.13"/>
    <col customWidth="1" min="3" max="3" width="12.75"/>
    <col customWidth="1" min="4" max="4" width="3.13"/>
    <col customWidth="1" min="5" max="5" width="20.13"/>
    <col customWidth="1" min="6" max="6" width="12.75"/>
    <col customWidth="1" min="7" max="7" width="3.5"/>
    <col customWidth="1" min="9" max="9" width="15.75"/>
    <col customWidth="1" min="10" max="11" width="6.0"/>
  </cols>
  <sheetData>
    <row r="1">
      <c r="A1" s="1" t="s">
        <v>56</v>
      </c>
    </row>
    <row r="3">
      <c r="A3" s="3" t="s">
        <v>1</v>
      </c>
    </row>
    <row r="4">
      <c r="B4" s="16" t="s">
        <v>57</v>
      </c>
    </row>
    <row r="6">
      <c r="B6" s="5" t="s">
        <v>3</v>
      </c>
      <c r="C6" s="6" t="s">
        <v>51</v>
      </c>
      <c r="E6" s="7" t="s">
        <v>5</v>
      </c>
      <c r="F6" s="8"/>
    </row>
    <row r="7">
      <c r="B7" s="5" t="s">
        <v>6</v>
      </c>
      <c r="C7" s="40">
        <v>1036.0</v>
      </c>
      <c r="E7" s="9"/>
      <c r="F7" s="10"/>
    </row>
    <row r="8">
      <c r="B8" s="5" t="s">
        <v>7</v>
      </c>
      <c r="C8" s="6">
        <v>1036.0</v>
      </c>
      <c r="E8" s="11"/>
      <c r="F8" s="12"/>
    </row>
    <row r="9">
      <c r="B9" s="13"/>
    </row>
    <row r="10">
      <c r="B10" s="14" t="s">
        <v>8</v>
      </c>
      <c r="E10" s="14" t="s">
        <v>9</v>
      </c>
      <c r="H10" s="14" t="s">
        <v>10</v>
      </c>
      <c r="K10" s="41"/>
    </row>
    <row r="11">
      <c r="B11" s="5" t="s">
        <v>11</v>
      </c>
      <c r="C11" s="15" t="s">
        <v>12</v>
      </c>
      <c r="E11" s="5" t="s">
        <v>11</v>
      </c>
      <c r="F11" s="15" t="s">
        <v>12</v>
      </c>
      <c r="G11" s="16"/>
      <c r="H11" s="17" t="s">
        <v>13</v>
      </c>
      <c r="I11" s="42"/>
      <c r="J11" s="8"/>
      <c r="K11" s="43"/>
    </row>
    <row r="12">
      <c r="B12" s="18" t="s">
        <v>14</v>
      </c>
      <c r="C12" s="44">
        <v>583.0</v>
      </c>
      <c r="E12" s="18" t="s">
        <v>14</v>
      </c>
      <c r="F12" s="44">
        <v>583.0</v>
      </c>
      <c r="G12" s="16"/>
      <c r="H12" s="9"/>
      <c r="J12" s="10"/>
      <c r="K12" s="43"/>
    </row>
    <row r="13">
      <c r="B13" s="20" t="s">
        <v>15</v>
      </c>
      <c r="C13" s="19">
        <v>936.0</v>
      </c>
      <c r="E13" s="20" t="s">
        <v>15</v>
      </c>
      <c r="F13" s="19">
        <v>736.0</v>
      </c>
      <c r="G13" s="16"/>
      <c r="H13" s="9"/>
      <c r="J13" s="10"/>
      <c r="K13" s="43"/>
    </row>
    <row r="14">
      <c r="G14" s="16"/>
      <c r="H14" s="9"/>
      <c r="J14" s="10"/>
      <c r="K14" s="43"/>
    </row>
    <row r="15">
      <c r="B15" s="5" t="s">
        <v>16</v>
      </c>
      <c r="C15" s="21">
        <f>if(C6="physical",if(C12&gt;C13,C12,(0.75*C13+0.25*C12)),if(C13&gt;C12,C13,(0.75*C12+0.25*C13)))</f>
        <v>936</v>
      </c>
      <c r="E15" s="5" t="s">
        <v>16</v>
      </c>
      <c r="F15" s="50">
        <v>736.0</v>
      </c>
      <c r="G15" s="16"/>
      <c r="H15" s="11"/>
      <c r="I15" s="45"/>
      <c r="J15" s="12"/>
      <c r="K15" s="43"/>
    </row>
    <row r="17">
      <c r="B17" s="5" t="s">
        <v>17</v>
      </c>
      <c r="C17" s="15" t="s">
        <v>18</v>
      </c>
      <c r="E17" s="5" t="s">
        <v>17</v>
      </c>
      <c r="F17" s="15" t="s">
        <v>18</v>
      </c>
      <c r="H17" s="22" t="s">
        <v>20</v>
      </c>
      <c r="I17" s="42"/>
      <c r="J17" s="8"/>
      <c r="K17" s="16"/>
    </row>
    <row r="18">
      <c r="B18" s="18" t="s">
        <v>21</v>
      </c>
      <c r="C18" s="44">
        <v>-60.0</v>
      </c>
      <c r="E18" s="18" t="s">
        <v>21</v>
      </c>
      <c r="F18" s="44">
        <v>-60.0</v>
      </c>
      <c r="H18" s="9"/>
      <c r="J18" s="10"/>
      <c r="K18" s="16"/>
    </row>
    <row r="19">
      <c r="B19" s="20" t="s">
        <v>22</v>
      </c>
      <c r="C19" s="19">
        <v>1151.0</v>
      </c>
      <c r="E19" s="20" t="s">
        <v>22</v>
      </c>
      <c r="F19" s="19">
        <v>1151.0</v>
      </c>
      <c r="H19" s="11"/>
      <c r="I19" s="45"/>
      <c r="J19" s="12"/>
      <c r="K19" s="16"/>
    </row>
    <row r="20">
      <c r="B20" s="24"/>
      <c r="C20" s="24"/>
      <c r="E20" s="24"/>
      <c r="F20" s="24"/>
      <c r="H20" s="25"/>
      <c r="I20" s="25"/>
    </row>
    <row r="21">
      <c r="B21" s="5" t="s">
        <v>23</v>
      </c>
      <c r="C21" s="15" t="s">
        <v>24</v>
      </c>
      <c r="E21" s="5" t="s">
        <v>23</v>
      </c>
      <c r="F21" s="15" t="s">
        <v>24</v>
      </c>
      <c r="H21" s="26" t="s">
        <v>52</v>
      </c>
      <c r="I21" s="42"/>
      <c r="J21" s="8"/>
      <c r="K21" s="46"/>
    </row>
    <row r="22">
      <c r="B22" s="18" t="s">
        <v>26</v>
      </c>
      <c r="C22" s="47">
        <v>0.3</v>
      </c>
      <c r="E22" s="18" t="s">
        <v>26</v>
      </c>
      <c r="F22" s="47">
        <v>0.3</v>
      </c>
      <c r="H22" s="9"/>
      <c r="J22" s="10"/>
      <c r="K22" s="46"/>
    </row>
    <row r="23">
      <c r="B23" s="18" t="s">
        <v>27</v>
      </c>
      <c r="C23" s="47">
        <v>0.3</v>
      </c>
      <c r="E23" s="18" t="s">
        <v>27</v>
      </c>
      <c r="F23" s="47">
        <v>0.3</v>
      </c>
      <c r="H23" s="9"/>
      <c r="J23" s="10"/>
      <c r="K23" s="46"/>
    </row>
    <row r="24">
      <c r="B24" s="18" t="s">
        <v>28</v>
      </c>
      <c r="C24" s="47">
        <v>0.3</v>
      </c>
      <c r="E24" s="18" t="s">
        <v>28</v>
      </c>
      <c r="F24" s="47">
        <v>0.5</v>
      </c>
      <c r="H24" s="9"/>
      <c r="J24" s="10"/>
      <c r="K24" s="46"/>
    </row>
    <row r="25">
      <c r="B25" s="20" t="s">
        <v>29</v>
      </c>
      <c r="C25" s="47">
        <v>0.15</v>
      </c>
      <c r="E25" s="20" t="s">
        <v>29</v>
      </c>
      <c r="F25" s="47">
        <v>0.15</v>
      </c>
      <c r="H25" s="11"/>
      <c r="I25" s="45"/>
      <c r="J25" s="12"/>
      <c r="K25" s="46"/>
    </row>
    <row r="26">
      <c r="B26" s="31" t="s">
        <v>30</v>
      </c>
      <c r="C26" s="47">
        <v>0.5</v>
      </c>
      <c r="E26" s="31" t="s">
        <v>30</v>
      </c>
      <c r="F26" s="47">
        <v>0.5</v>
      </c>
      <c r="H26" s="33" t="s">
        <v>33</v>
      </c>
      <c r="I26" s="42"/>
      <c r="J26" s="8"/>
      <c r="K26" s="48"/>
    </row>
    <row r="27">
      <c r="B27" s="20" t="s">
        <v>31</v>
      </c>
      <c r="C27" s="47">
        <v>0.5</v>
      </c>
      <c r="E27" s="20" t="s">
        <v>31</v>
      </c>
      <c r="F27" s="47">
        <v>0.5</v>
      </c>
      <c r="H27" s="11"/>
      <c r="I27" s="45"/>
      <c r="J27" s="12"/>
      <c r="K27" s="48"/>
    </row>
    <row r="28">
      <c r="B28" s="31" t="s">
        <v>32</v>
      </c>
      <c r="C28" s="29">
        <v>0.3</v>
      </c>
      <c r="E28" s="31" t="s">
        <v>32</v>
      </c>
      <c r="F28" s="29">
        <v>0.3</v>
      </c>
      <c r="H28" s="26" t="s">
        <v>36</v>
      </c>
      <c r="I28" s="42"/>
      <c r="J28" s="8"/>
      <c r="K28" s="46"/>
    </row>
    <row r="29">
      <c r="B29" s="20" t="s">
        <v>34</v>
      </c>
      <c r="C29" s="47">
        <v>0.15</v>
      </c>
      <c r="E29" s="20" t="s">
        <v>34</v>
      </c>
      <c r="F29" s="47">
        <v>0.3</v>
      </c>
      <c r="H29" s="11"/>
      <c r="I29" s="45"/>
      <c r="J29" s="12"/>
      <c r="K29" s="46"/>
    </row>
    <row r="30">
      <c r="B30" s="31" t="s">
        <v>35</v>
      </c>
      <c r="C30" s="47">
        <v>0.1</v>
      </c>
      <c r="E30" s="31" t="s">
        <v>35</v>
      </c>
      <c r="F30" s="47">
        <v>0.1</v>
      </c>
      <c r="H30" s="33" t="s">
        <v>53</v>
      </c>
      <c r="I30" s="42"/>
      <c r="J30" s="8"/>
      <c r="K30" s="48"/>
    </row>
    <row r="31">
      <c r="B31" s="18" t="s">
        <v>37</v>
      </c>
      <c r="C31" s="47">
        <v>0.3</v>
      </c>
      <c r="E31" s="18" t="s">
        <v>37</v>
      </c>
      <c r="F31" s="47">
        <v>0.3</v>
      </c>
      <c r="H31" s="9"/>
      <c r="J31" s="10"/>
      <c r="K31" s="48"/>
    </row>
    <row r="32">
      <c r="B32" s="18" t="s">
        <v>38</v>
      </c>
      <c r="C32" s="47">
        <v>0.3</v>
      </c>
      <c r="E32" s="18" t="s">
        <v>38</v>
      </c>
      <c r="F32" s="47">
        <v>0.3</v>
      </c>
      <c r="H32" s="9"/>
      <c r="J32" s="10"/>
      <c r="K32" s="48"/>
    </row>
    <row r="33">
      <c r="B33" s="20" t="s">
        <v>39</v>
      </c>
      <c r="C33" s="29"/>
      <c r="E33" s="20" t="s">
        <v>39</v>
      </c>
      <c r="F33" s="29"/>
      <c r="H33" s="11"/>
      <c r="I33" s="45"/>
      <c r="J33" s="12"/>
      <c r="K33" s="48"/>
    </row>
    <row r="34">
      <c r="B34" s="31" t="s">
        <v>40</v>
      </c>
      <c r="C34" s="49">
        <v>0.1</v>
      </c>
      <c r="E34" s="18" t="s">
        <v>40</v>
      </c>
      <c r="F34" s="49">
        <v>0.1</v>
      </c>
      <c r="H34" s="33" t="s">
        <v>54</v>
      </c>
      <c r="I34" s="42"/>
      <c r="J34" s="8"/>
      <c r="K34" s="48"/>
    </row>
    <row r="35">
      <c r="B35" s="18" t="s">
        <v>41</v>
      </c>
      <c r="C35" s="23"/>
      <c r="E35" s="18" t="s">
        <v>41</v>
      </c>
      <c r="F35" s="23"/>
      <c r="H35" s="9"/>
      <c r="J35" s="10"/>
      <c r="K35" s="48"/>
    </row>
    <row r="36">
      <c r="B36" s="20" t="s">
        <v>42</v>
      </c>
      <c r="C36" s="29">
        <v>0.3</v>
      </c>
      <c r="E36" s="20" t="s">
        <v>42</v>
      </c>
      <c r="F36" s="29">
        <v>0.3</v>
      </c>
      <c r="H36" s="11"/>
      <c r="I36" s="45"/>
      <c r="J36" s="12"/>
      <c r="K36" s="48"/>
    </row>
    <row r="38">
      <c r="B38" s="34" t="s">
        <v>43</v>
      </c>
      <c r="C38" s="35">
        <f>if(C6="physical",C15*(C15+C18-C7)*(1+C22+C23+C24+C25)*(1+C26+C27)*(1+C28+C29)*((1+C30+C31)*(1+C32)*(1+C33))*((1+C34+C35)*(1+C36)),C15*(C15+C19-C8)*(1+C22+C23+C24+C25)*(1+C26+C27)*(1+C28+C29)*((1+C30+C31)*(1+C32)*(1+C33))*((1+C34+C35)*(1+C36)))</f>
        <v>15220812.96</v>
      </c>
      <c r="E38" s="34" t="s">
        <v>44</v>
      </c>
      <c r="F38" s="35">
        <f>if(C6="physical",F15*(F15+F18-C7)*(1+F22+F23+F24+F25)*(1+F26+F27)*(1+F28+F29)*((1+F30+F31)*(1+F32)*(1+F33))*((1+F34+F35)*(1+F36)),F15*(F15+F19-C8)*(1+F22+F23+F24+F25)*(1+F26+F27)*(1+F28+F29)*((1+F30+F31)*(1+F32)*(1+F33))*((1+F34+F35)*(1+F36)))</f>
        <v>11736734.93</v>
      </c>
      <c r="H38" s="26" t="s">
        <v>45</v>
      </c>
      <c r="I38" s="42"/>
      <c r="J38" s="8"/>
    </row>
    <row r="39" ht="25.5" customHeight="1">
      <c r="B39" s="36" t="s">
        <v>46</v>
      </c>
      <c r="C39" s="37">
        <f>(C38-F38)/F38</f>
        <v>0.2968524083</v>
      </c>
      <c r="D39" s="38"/>
      <c r="E39" s="36" t="s">
        <v>46</v>
      </c>
      <c r="F39" s="37">
        <f>(F38-C38)/C38</f>
        <v>-0.22890223</v>
      </c>
      <c r="H39" s="11"/>
      <c r="I39" s="45"/>
      <c r="J39" s="12"/>
    </row>
    <row r="41">
      <c r="B41" s="39" t="s">
        <v>58</v>
      </c>
      <c r="H41" s="46"/>
      <c r="I41" s="46"/>
    </row>
    <row r="42">
      <c r="H42" s="46"/>
      <c r="I42" s="46"/>
    </row>
    <row r="43">
      <c r="H43" s="46"/>
      <c r="I43" s="46"/>
    </row>
    <row r="44">
      <c r="H44" s="46"/>
      <c r="I44" s="46"/>
    </row>
    <row r="45">
      <c r="H45" s="46"/>
      <c r="I45" s="46"/>
    </row>
    <row r="46">
      <c r="H46" s="46"/>
      <c r="I46" s="46"/>
    </row>
    <row r="47">
      <c r="H47" s="46"/>
      <c r="I47" s="46"/>
    </row>
  </sheetData>
  <mergeCells count="15">
    <mergeCell ref="H11:J15"/>
    <mergeCell ref="H17:J19"/>
    <mergeCell ref="H21:J25"/>
    <mergeCell ref="H26:J27"/>
    <mergeCell ref="H28:J29"/>
    <mergeCell ref="H30:J33"/>
    <mergeCell ref="H34:J36"/>
    <mergeCell ref="H38:J39"/>
    <mergeCell ref="A1:K2"/>
    <mergeCell ref="A3:K3"/>
    <mergeCell ref="B4:I5"/>
    <mergeCell ref="E6:F8"/>
    <mergeCell ref="B10:C10"/>
    <mergeCell ref="E10:F10"/>
    <mergeCell ref="H10:J10"/>
  </mergeCells>
  <dataValidations>
    <dataValidation type="list" allowBlank="1" showErrorMessage="1" sqref="C6">
      <formula1>"Physical,Elemental"</formula1>
    </dataValidation>
    <dataValidation type="decimal" operator="lessThanOrEqual" allowBlank="1" showDropDown="1" sqref="C22:C36 F22:F36">
      <formula1>0.3</formula1>
    </dataValidation>
  </dataValidations>
  <hyperlinks>
    <hyperlink r:id="rId2" ref="A1"/>
    <hyperlink r:id="rId3" ref="E6"/>
    <hyperlink r:id="rId4" ref="B41"/>
  </hyperlinks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0.13"/>
    <col customWidth="1" min="3" max="3" width="12.75"/>
    <col customWidth="1" min="4" max="4" width="3.13"/>
    <col customWidth="1" min="5" max="5" width="20.13"/>
    <col customWidth="1" min="6" max="6" width="12.75"/>
    <col customWidth="1" min="7" max="7" width="3.5"/>
    <col customWidth="1" min="9" max="9" width="15.75"/>
    <col customWidth="1" min="10" max="11" width="6.0"/>
  </cols>
  <sheetData>
    <row r="1">
      <c r="A1" s="1" t="s">
        <v>59</v>
      </c>
    </row>
    <row r="3">
      <c r="A3" s="3" t="s">
        <v>1</v>
      </c>
    </row>
    <row r="4">
      <c r="B4" s="16" t="s">
        <v>60</v>
      </c>
    </row>
    <row r="6">
      <c r="B6" s="5" t="s">
        <v>3</v>
      </c>
      <c r="C6" s="6" t="s">
        <v>4</v>
      </c>
      <c r="E6" s="7" t="s">
        <v>5</v>
      </c>
      <c r="F6" s="8"/>
    </row>
    <row r="7">
      <c r="B7" s="5" t="s">
        <v>6</v>
      </c>
      <c r="C7" s="40">
        <v>600.0</v>
      </c>
      <c r="E7" s="9"/>
      <c r="F7" s="10"/>
    </row>
    <row r="8">
      <c r="B8" s="5" t="s">
        <v>7</v>
      </c>
      <c r="C8" s="6">
        <v>572.0</v>
      </c>
      <c r="E8" s="11"/>
      <c r="F8" s="12"/>
    </row>
    <row r="9">
      <c r="B9" s="13"/>
    </row>
    <row r="10">
      <c r="B10" s="14" t="s">
        <v>8</v>
      </c>
      <c r="E10" s="14" t="s">
        <v>9</v>
      </c>
      <c r="H10" s="14" t="s">
        <v>10</v>
      </c>
      <c r="K10" s="41"/>
    </row>
    <row r="11">
      <c r="B11" s="5" t="s">
        <v>11</v>
      </c>
      <c r="C11" s="15" t="s">
        <v>12</v>
      </c>
      <c r="E11" s="5" t="s">
        <v>11</v>
      </c>
      <c r="F11" s="15" t="s">
        <v>12</v>
      </c>
      <c r="G11" s="16"/>
      <c r="H11" s="17" t="s">
        <v>13</v>
      </c>
      <c r="I11" s="42"/>
      <c r="J11" s="8"/>
      <c r="K11" s="43"/>
    </row>
    <row r="12">
      <c r="B12" s="18" t="s">
        <v>14</v>
      </c>
      <c r="C12" s="44"/>
      <c r="E12" s="18" t="s">
        <v>14</v>
      </c>
      <c r="F12" s="44">
        <v>667.0</v>
      </c>
      <c r="G12" s="16"/>
      <c r="H12" s="9"/>
      <c r="J12" s="10"/>
      <c r="K12" s="43"/>
    </row>
    <row r="13">
      <c r="B13" s="20" t="s">
        <v>15</v>
      </c>
      <c r="C13" s="19"/>
      <c r="E13" s="20" t="s">
        <v>15</v>
      </c>
      <c r="F13" s="19">
        <v>100.0</v>
      </c>
      <c r="G13" s="16"/>
      <c r="H13" s="9"/>
      <c r="J13" s="10"/>
      <c r="K13" s="43"/>
    </row>
    <row r="14">
      <c r="G14" s="16"/>
      <c r="H14" s="9"/>
      <c r="J14" s="10"/>
      <c r="K14" s="43"/>
    </row>
    <row r="15">
      <c r="B15" s="5" t="s">
        <v>16</v>
      </c>
      <c r="C15" s="21">
        <f>if(C6="physical",if(C12&gt;C13,C12,(0.75*C13+0.25*C12)),if(C13&gt;C12,C13,(0.75*C12+0.25*C13)))</f>
        <v>0</v>
      </c>
      <c r="E15" s="5" t="s">
        <v>16</v>
      </c>
      <c r="F15" s="21">
        <f>if(C6="physical",if(F12&gt;F13,F12,(0.75*F13+0.25*F12)),if(F13&gt;F12,F13,(0.75*F12+0.25*F13)))</f>
        <v>667</v>
      </c>
      <c r="G15" s="16"/>
      <c r="H15" s="11"/>
      <c r="I15" s="45"/>
      <c r="J15" s="12"/>
      <c r="K15" s="43"/>
    </row>
    <row r="17">
      <c r="B17" s="5" t="s">
        <v>17</v>
      </c>
      <c r="C17" s="15" t="s">
        <v>18</v>
      </c>
      <c r="E17" s="5" t="s">
        <v>17</v>
      </c>
      <c r="F17" s="15" t="s">
        <v>19</v>
      </c>
      <c r="H17" s="22" t="s">
        <v>20</v>
      </c>
      <c r="I17" s="42"/>
      <c r="J17" s="8"/>
      <c r="K17" s="16"/>
    </row>
    <row r="18">
      <c r="B18" s="18" t="s">
        <v>21</v>
      </c>
      <c r="C18" s="44">
        <v>1000.0</v>
      </c>
      <c r="E18" s="18" t="s">
        <v>21</v>
      </c>
      <c r="F18" s="44">
        <v>700.0</v>
      </c>
      <c r="H18" s="9"/>
      <c r="J18" s="10"/>
      <c r="K18" s="16"/>
    </row>
    <row r="19">
      <c r="B19" s="20" t="s">
        <v>22</v>
      </c>
      <c r="C19" s="19">
        <v>1120.0</v>
      </c>
      <c r="E19" s="20" t="s">
        <v>22</v>
      </c>
      <c r="F19" s="19">
        <v>960.0</v>
      </c>
      <c r="H19" s="11"/>
      <c r="I19" s="45"/>
      <c r="J19" s="12"/>
      <c r="K19" s="16"/>
    </row>
    <row r="20">
      <c r="B20" s="24"/>
      <c r="C20" s="24"/>
      <c r="E20" s="24"/>
      <c r="F20" s="24"/>
      <c r="H20" s="25"/>
      <c r="I20" s="25"/>
    </row>
    <row r="21">
      <c r="B21" s="5" t="s">
        <v>23</v>
      </c>
      <c r="C21" s="15" t="s">
        <v>24</v>
      </c>
      <c r="E21" s="5" t="s">
        <v>23</v>
      </c>
      <c r="F21" s="5" t="s">
        <v>24</v>
      </c>
      <c r="H21" s="26" t="s">
        <v>52</v>
      </c>
      <c r="I21" s="42"/>
      <c r="J21" s="8"/>
      <c r="K21" s="46"/>
    </row>
    <row r="22">
      <c r="B22" s="18" t="s">
        <v>26</v>
      </c>
      <c r="C22" s="47">
        <v>0.3</v>
      </c>
      <c r="E22" s="18" t="s">
        <v>26</v>
      </c>
      <c r="F22" s="47">
        <v>0.5</v>
      </c>
      <c r="H22" s="9"/>
      <c r="J22" s="10"/>
      <c r="K22" s="46"/>
    </row>
    <row r="23">
      <c r="B23" s="18" t="s">
        <v>27</v>
      </c>
      <c r="C23" s="47">
        <v>0.3</v>
      </c>
      <c r="E23" s="18" t="s">
        <v>27</v>
      </c>
      <c r="F23" s="47">
        <v>0.45</v>
      </c>
      <c r="H23" s="9"/>
      <c r="J23" s="10"/>
      <c r="K23" s="46"/>
    </row>
    <row r="24">
      <c r="B24" s="18" t="s">
        <v>28</v>
      </c>
      <c r="C24" s="47">
        <v>0.3</v>
      </c>
      <c r="E24" s="18" t="s">
        <v>28</v>
      </c>
      <c r="F24" s="47">
        <v>0.3</v>
      </c>
      <c r="H24" s="9"/>
      <c r="J24" s="10"/>
      <c r="K24" s="46"/>
    </row>
    <row r="25">
      <c r="B25" s="20" t="s">
        <v>29</v>
      </c>
      <c r="C25" s="47">
        <v>0.0</v>
      </c>
      <c r="E25" s="20" t="s">
        <v>29</v>
      </c>
      <c r="F25" s="47"/>
      <c r="H25" s="11"/>
      <c r="I25" s="45"/>
      <c r="J25" s="12"/>
      <c r="K25" s="46"/>
    </row>
    <row r="26">
      <c r="B26" s="31" t="s">
        <v>30</v>
      </c>
      <c r="C26" s="47">
        <v>0.2</v>
      </c>
      <c r="E26" s="31" t="s">
        <v>30</v>
      </c>
      <c r="F26" s="47">
        <v>0.2</v>
      </c>
      <c r="H26" s="33" t="s">
        <v>33</v>
      </c>
      <c r="I26" s="42"/>
      <c r="J26" s="8"/>
      <c r="K26" s="48"/>
    </row>
    <row r="27">
      <c r="B27" s="20" t="s">
        <v>31</v>
      </c>
      <c r="C27" s="47">
        <v>0.25</v>
      </c>
      <c r="E27" s="20" t="s">
        <v>31</v>
      </c>
      <c r="F27" s="47">
        <v>0.25</v>
      </c>
      <c r="H27" s="11"/>
      <c r="I27" s="45"/>
      <c r="J27" s="12"/>
      <c r="K27" s="48"/>
    </row>
    <row r="28">
      <c r="B28" s="31" t="s">
        <v>32</v>
      </c>
      <c r="C28" s="29">
        <v>0.1</v>
      </c>
      <c r="E28" s="31" t="s">
        <v>32</v>
      </c>
      <c r="F28" s="29">
        <v>0.1</v>
      </c>
      <c r="H28" s="26" t="s">
        <v>36</v>
      </c>
      <c r="I28" s="42"/>
      <c r="J28" s="8"/>
      <c r="K28" s="46"/>
    </row>
    <row r="29">
      <c r="B29" s="20" t="s">
        <v>34</v>
      </c>
      <c r="C29" s="47">
        <v>0.0</v>
      </c>
      <c r="E29" s="20" t="s">
        <v>34</v>
      </c>
      <c r="F29" s="47">
        <v>0.0</v>
      </c>
      <c r="H29" s="11"/>
      <c r="I29" s="45"/>
      <c r="J29" s="12"/>
      <c r="K29" s="46"/>
    </row>
    <row r="30">
      <c r="B30" s="31" t="s">
        <v>35</v>
      </c>
      <c r="C30" s="47">
        <v>0.2</v>
      </c>
      <c r="E30" s="31" t="s">
        <v>35</v>
      </c>
      <c r="F30" s="47">
        <v>0.19</v>
      </c>
      <c r="H30" s="33" t="s">
        <v>53</v>
      </c>
      <c r="I30" s="42"/>
      <c r="J30" s="8"/>
      <c r="K30" s="48"/>
    </row>
    <row r="31">
      <c r="B31" s="18" t="s">
        <v>37</v>
      </c>
      <c r="C31" s="47">
        <v>0.2</v>
      </c>
      <c r="E31" s="18" t="s">
        <v>37</v>
      </c>
      <c r="F31" s="47">
        <v>0.2</v>
      </c>
      <c r="H31" s="9"/>
      <c r="J31" s="10"/>
      <c r="K31" s="48"/>
    </row>
    <row r="32">
      <c r="B32" s="18" t="s">
        <v>38</v>
      </c>
      <c r="C32" s="47">
        <v>0.0</v>
      </c>
      <c r="E32" s="18" t="s">
        <v>38</v>
      </c>
      <c r="F32" s="47">
        <v>0.0</v>
      </c>
      <c r="H32" s="9"/>
      <c r="J32" s="10"/>
      <c r="K32" s="48"/>
    </row>
    <row r="33">
      <c r="B33" s="20" t="s">
        <v>39</v>
      </c>
      <c r="C33" s="29">
        <v>0.0</v>
      </c>
      <c r="E33" s="20" t="s">
        <v>39</v>
      </c>
      <c r="F33" s="29">
        <v>0.0</v>
      </c>
      <c r="H33" s="11"/>
      <c r="I33" s="45"/>
      <c r="J33" s="12"/>
      <c r="K33" s="48"/>
    </row>
    <row r="34">
      <c r="B34" s="31" t="s">
        <v>40</v>
      </c>
      <c r="C34" s="49">
        <v>0.3</v>
      </c>
      <c r="E34" s="18" t="s">
        <v>40</v>
      </c>
      <c r="F34" s="49">
        <v>0.3</v>
      </c>
      <c r="H34" s="33" t="s">
        <v>54</v>
      </c>
      <c r="I34" s="42"/>
      <c r="J34" s="8"/>
      <c r="K34" s="48"/>
    </row>
    <row r="35">
      <c r="B35" s="18" t="s">
        <v>41</v>
      </c>
      <c r="C35" s="23">
        <v>0.1</v>
      </c>
      <c r="E35" s="18" t="s">
        <v>41</v>
      </c>
      <c r="F35" s="23"/>
      <c r="H35" s="9"/>
      <c r="J35" s="10"/>
      <c r="K35" s="48"/>
    </row>
    <row r="36">
      <c r="B36" s="20" t="s">
        <v>42</v>
      </c>
      <c r="C36" s="29"/>
      <c r="E36" s="20" t="s">
        <v>42</v>
      </c>
      <c r="F36" s="29"/>
      <c r="H36" s="11"/>
      <c r="I36" s="45"/>
      <c r="J36" s="12"/>
      <c r="K36" s="48"/>
    </row>
    <row r="38">
      <c r="B38" s="34" t="s">
        <v>43</v>
      </c>
      <c r="C38" s="35">
        <f>if(C6="physical",C15*(C15+C18-C7)*(1+C22+C23+C24+C25)*(1+C26+C27)*(1+C28+C29)*((1+C30+C31)*(1+C32)*(1+C33))*((1+C34+C35)*(1+C36)),C15*(C15+C19-C8)*(1+C22+C23+C24+C25)*(1+C26+C27)*(1+C28+C29)*((1+C30+C31)*(1+C32)*(1+C33))*((1+C34+C35)*(1+C36)))</f>
        <v>0</v>
      </c>
      <c r="E38" s="34" t="s">
        <v>44</v>
      </c>
      <c r="F38" s="35">
        <f>if(C6="physical",F15*(F15+F18-C7)*(1+F22+F23+F24+F25)*(1+F26+F27)*(1+F28+F29)*((1+F30+F31)*(1+F32)*(1+F33))*((1+F34+F35)*(1+F36)),F15*(F15+F19-C8)*(1+F22+F23+F24+F25)*(1+F26+F27)*(1+F28+F29)*((1+F30+F31)*(1+F32)*(1+F33))*((1+F34+F35)*(1+F36)))</f>
        <v>3317588.798</v>
      </c>
      <c r="H38" s="26" t="s">
        <v>45</v>
      </c>
      <c r="I38" s="42"/>
      <c r="J38" s="8"/>
    </row>
    <row r="39" ht="25.5" customHeight="1">
      <c r="B39" s="36" t="s">
        <v>46</v>
      </c>
      <c r="C39" s="37">
        <f>(C38-F38)/F38</f>
        <v>-1</v>
      </c>
      <c r="D39" s="38"/>
      <c r="E39" s="36" t="s">
        <v>46</v>
      </c>
      <c r="F39" s="37" t="str">
        <f>(F38-C38)/C38</f>
        <v>#DIV/0!</v>
      </c>
      <c r="H39" s="11"/>
      <c r="I39" s="45"/>
      <c r="J39" s="12"/>
    </row>
    <row r="41">
      <c r="B41" s="39" t="s">
        <v>61</v>
      </c>
      <c r="H41" s="46"/>
      <c r="I41" s="46"/>
    </row>
    <row r="42">
      <c r="H42" s="46"/>
      <c r="I42" s="46"/>
    </row>
    <row r="43">
      <c r="H43" s="46"/>
      <c r="I43" s="46"/>
    </row>
    <row r="44">
      <c r="H44" s="46"/>
      <c r="I44" s="46"/>
    </row>
    <row r="45">
      <c r="H45" s="46"/>
      <c r="I45" s="46"/>
    </row>
    <row r="46">
      <c r="H46" s="46"/>
      <c r="I46" s="46"/>
    </row>
    <row r="47">
      <c r="H47" s="46"/>
      <c r="I47" s="46"/>
    </row>
  </sheetData>
  <mergeCells count="15">
    <mergeCell ref="H11:J15"/>
    <mergeCell ref="H17:J19"/>
    <mergeCell ref="H21:J25"/>
    <mergeCell ref="H26:J27"/>
    <mergeCell ref="H28:J29"/>
    <mergeCell ref="H30:J33"/>
    <mergeCell ref="H34:J36"/>
    <mergeCell ref="H38:J39"/>
    <mergeCell ref="A1:K2"/>
    <mergeCell ref="A3:K3"/>
    <mergeCell ref="B4:I5"/>
    <mergeCell ref="E6:F8"/>
    <mergeCell ref="B10:C10"/>
    <mergeCell ref="E10:F10"/>
    <mergeCell ref="H10:J10"/>
  </mergeCells>
  <dataValidations>
    <dataValidation type="list" allowBlank="1" showErrorMessage="1" sqref="C6">
      <formula1>"Physical,Elemental"</formula1>
    </dataValidation>
    <dataValidation type="decimal" operator="lessThanOrEqual" allowBlank="1" showDropDown="1" sqref="C22:C36 F22:F36">
      <formula1>0.3</formula1>
    </dataValidation>
  </dataValidations>
  <hyperlinks>
    <hyperlink r:id="rId2" ref="A1"/>
    <hyperlink r:id="rId3" ref="E6"/>
    <hyperlink r:id="rId4" ref="B41"/>
  </hyperlinks>
  <drawing r:id="rId5"/>
  <legacyDrawing r:id="rId6"/>
</worksheet>
</file>